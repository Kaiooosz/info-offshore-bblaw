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r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 &quot;meses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99999"/>
      <sz val="9"/>
    </font>
    <font>
      <name val="Arial"/>
      <b val="1"/>
      <color rgb="00FFFFFF"/>
      <sz val="12"/>
    </font>
    <font>
      <name val="Arial"/>
      <color rgb="00CCCCCC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CCCCCC"/>
      <sz val="9"/>
    </font>
    <font>
      <name val="Arial"/>
      <b val="1"/>
      <color rgb="00CCCCCC"/>
      <sz val="10"/>
    </font>
  </fonts>
  <fills count="6">
    <fill>
      <patternFill/>
    </fill>
    <fill>
      <patternFill patternType="gray125"/>
    </fill>
    <fill>
      <patternFill patternType="solid">
        <fgColor rgb="00070D0A"/>
        <bgColor rgb="00070D0A"/>
      </patternFill>
    </fill>
    <fill>
      <patternFill patternType="solid">
        <fgColor rgb="001A2E1F"/>
        <bgColor rgb="001A2E1F"/>
      </patternFill>
    </fill>
    <fill>
      <patternFill patternType="solid">
        <fgColor rgb="000E1A14"/>
        <bgColor rgb="000E1A14"/>
      </patternFill>
    </fill>
    <fill>
      <patternFill patternType="solid">
        <fgColor rgb="002D5A3D"/>
        <bgColor rgb="002D5A3D"/>
      </patternFill>
    </fill>
  </fills>
  <borders count="2">
    <border>
      <left/>
      <right/>
      <top/>
      <bottom/>
      <diagonal/>
    </border>
    <border>
      <left style="thin">
        <color rgb="001A2E1F"/>
      </left>
      <right style="thin">
        <color rgb="001A2E1F"/>
      </right>
      <top style="thin">
        <color rgb="001A2E1F"/>
      </top>
      <bottom style="thin">
        <color rgb="001A2E1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3" fontId="5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4" borderId="1" pivotButton="0" quotePrefix="0" xfId="0"/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A3D"/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" customWidth="1" min="4" max="4"/>
    <col width="32" customWidth="1" min="5" max="5"/>
    <col width="22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CAPITAL BLINDADO — SIMULADOR</t>
        </is>
      </c>
      <c r="G2" s="1" t="n"/>
      <c r="H2" s="1" t="n"/>
      <c r="I2" s="1" t="n"/>
    </row>
    <row r="3">
      <c r="A3" s="1" t="n"/>
      <c r="B3" s="3" t="inlineStr">
        <is>
          <t>Bezerra Borges Advogados / bezerraborges.com.br</t>
        </is>
      </c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SEUS DADOS</t>
        </is>
      </c>
      <c r="C5" s="1" t="n"/>
      <c r="D5" s="1" t="n"/>
      <c r="E5" s="4" t="inlineStr">
        <is>
          <t>COMPARATIVO</t>
        </is>
      </c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5" t="inlineStr">
        <is>
          <t>Patrimonio total (R$)</t>
        </is>
      </c>
      <c r="C7" s="6" t="n">
        <v>3000000</v>
      </c>
      <c r="D7" s="1" t="n"/>
      <c r="E7" s="1" t="n"/>
      <c r="F7" s="1" t="n"/>
      <c r="G7" s="1" t="n"/>
      <c r="H7" s="1" t="n"/>
      <c r="I7" s="1" t="n"/>
    </row>
    <row r="8">
      <c r="A8" s="1" t="n"/>
      <c r="B8" s="5" t="inlineStr">
        <is>
          <t>Renda anual (R$)</t>
        </is>
      </c>
      <c r="C8" s="6" t="n">
        <v>600000</v>
      </c>
      <c r="D8" s="1" t="n"/>
      <c r="E8" s="1" t="n"/>
      <c r="F8" s="1" t="n"/>
      <c r="G8" s="1" t="n"/>
      <c r="H8" s="1" t="n"/>
      <c r="I8" s="1" t="n"/>
    </row>
    <row r="9">
      <c r="A9" s="1" t="n"/>
      <c r="B9" s="5" t="inlineStr">
        <is>
          <t>Impostos pagos por ano (R$)</t>
        </is>
      </c>
      <c r="C9" s="6" t="n">
        <v>180000</v>
      </c>
      <c r="D9" s="1" t="n"/>
      <c r="E9" s="1" t="n"/>
      <c r="F9" s="1" t="n"/>
      <c r="G9" s="1" t="n"/>
      <c r="H9" s="1" t="n"/>
      <c r="I9" s="1" t="n"/>
    </row>
    <row r="10">
      <c r="A10" s="1" t="n"/>
      <c r="B10" s="5" t="inlineStr">
        <is>
          <t>Custo estimado da estrutura (R$)</t>
        </is>
      </c>
      <c r="C10" s="6" t="n">
        <v>25000</v>
      </c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4" t="inlineStr">
        <is>
          <t>RESULTADOS</t>
        </is>
      </c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5" t="inlineStr">
        <is>
          <t>Economia tributaria estimada (ano)</t>
        </is>
      </c>
      <c r="C14" s="7">
        <f>C9*0.35</f>
        <v/>
      </c>
      <c r="D14" s="1" t="n"/>
      <c r="E14" s="1" t="n"/>
      <c r="F14" s="1" t="n"/>
      <c r="G14" s="1" t="n"/>
      <c r="H14" s="1" t="n"/>
      <c r="I14" s="1" t="n"/>
    </row>
    <row r="15">
      <c r="A15" s="1" t="n"/>
      <c r="B15" s="5" t="inlineStr">
        <is>
          <t>Economia em 5 anos</t>
        </is>
      </c>
      <c r="C15" s="7">
        <f>C14*5</f>
        <v/>
      </c>
      <c r="D15" s="1" t="n"/>
      <c r="E15" s="1" t="n"/>
      <c r="F15" s="1" t="n"/>
      <c r="G15" s="1" t="n"/>
      <c r="H15" s="1" t="n"/>
      <c r="I15" s="1" t="n"/>
    </row>
    <row r="16">
      <c r="A16" s="1" t="n"/>
      <c r="B16" s="5" t="inlineStr">
        <is>
          <t>Economia em 10 anos</t>
        </is>
      </c>
      <c r="C16" s="7">
        <f>C14*10</f>
        <v/>
      </c>
      <c r="D16" s="1" t="n"/>
      <c r="E16" s="1" t="n"/>
      <c r="F16" s="1" t="n"/>
      <c r="G16" s="1" t="n"/>
      <c r="H16" s="1" t="n"/>
      <c r="I16" s="1" t="n"/>
    </row>
    <row r="17">
      <c r="A17" s="1" t="n"/>
      <c r="B17" s="5" t="inlineStr">
        <is>
          <t>Payback (meses)</t>
        </is>
      </c>
      <c r="C17" s="8">
        <f>IF(C14&gt;0,ROUNDUP(C10/C14*12,0),"N/A")</f>
        <v/>
      </c>
      <c r="D17" s="1" t="n"/>
      <c r="E17" s="1" t="n"/>
      <c r="F17" s="1" t="n"/>
      <c r="G17" s="1" t="n"/>
      <c r="H17" s="1" t="n"/>
      <c r="I17" s="1" t="n"/>
    </row>
    <row r="18">
      <c r="A18" s="1" t="n"/>
      <c r="B18" s="5" t="inlineStr">
        <is>
          <t>ROI no primeiro ano</t>
        </is>
      </c>
      <c r="C18" s="9">
        <f>IF(C10&gt;0,(C14-C10)/C10,0)</f>
        <v/>
      </c>
      <c r="D18" s="1" t="n"/>
      <c r="E18" s="1" t="n"/>
      <c r="F18" s="1" t="n"/>
      <c r="G18" s="1" t="n"/>
      <c r="H18" s="1" t="n"/>
      <c r="I18" s="1" t="n"/>
    </row>
    <row r="19">
      <c r="A19" s="1" t="n"/>
      <c r="B19" s="5" t="inlineStr">
        <is>
          <t>ROI em 5 anos</t>
        </is>
      </c>
      <c r="C19" s="9">
        <f>IF(C10&gt;0,(C15-C10)/C10,0)</f>
        <v/>
      </c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4" t="inlineStr">
        <is>
          <t>COMPARATIVO POR ESTRUTURA</t>
        </is>
      </c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0" t="inlineStr">
        <is>
          <t>Estrutura</t>
        </is>
      </c>
      <c r="C22" s="10" t="inlineStr">
        <is>
          <t>Setup</t>
        </is>
      </c>
      <c r="D22" s="10" t="inlineStr">
        <is>
          <t>Manut./ano</t>
        </is>
      </c>
      <c r="E22" s="10" t="inlineStr">
        <is>
          <t>Economia est.</t>
        </is>
      </c>
      <c r="F22" s="10" t="inlineStr">
        <is>
          <t>Payback</t>
        </is>
      </c>
      <c r="G22" s="1" t="n"/>
      <c r="H22" s="1" t="n"/>
      <c r="I22" s="1" t="n"/>
    </row>
    <row r="23">
      <c r="A23" s="1" t="n"/>
      <c r="B23" s="11" t="inlineStr">
        <is>
          <t>LLC EUA (Wyoming)</t>
        </is>
      </c>
      <c r="C23" s="12" t="n">
        <v>3500</v>
      </c>
      <c r="D23" s="12" t="n">
        <v>1500</v>
      </c>
      <c r="E23" s="12">
        <f>C9*0.15</f>
        <v/>
      </c>
      <c r="F23" s="13">
        <f>IF(E23&gt;0,ROUNDUP(C23/E23*12,0),"N/A")</f>
        <v/>
      </c>
      <c r="G23" s="1" t="n"/>
      <c r="H23" s="1" t="n"/>
      <c r="I23" s="1" t="n"/>
    </row>
    <row r="24">
      <c r="A24" s="1" t="n"/>
      <c r="B24" s="11" t="inlineStr">
        <is>
          <t>LLC EUA (Delaware)</t>
        </is>
      </c>
      <c r="C24" s="12" t="n">
        <v>5500</v>
      </c>
      <c r="D24" s="12" t="n">
        <v>2000</v>
      </c>
      <c r="E24" s="12">
        <f>C9*0.15</f>
        <v/>
      </c>
      <c r="F24" s="13">
        <f>IF(E24&gt;0,ROUNDUP(C24/E24*12,0),"N/A")</f>
        <v/>
      </c>
      <c r="G24" s="1" t="n"/>
      <c r="H24" s="1" t="n"/>
      <c r="I24" s="1" t="n"/>
    </row>
    <row r="25">
      <c r="A25" s="1" t="n"/>
      <c r="B25" s="11" t="inlineStr">
        <is>
          <t>Holding Portugal</t>
        </is>
      </c>
      <c r="C25" s="12" t="n">
        <v>35000</v>
      </c>
      <c r="D25" s="12" t="n">
        <v>15000</v>
      </c>
      <c r="E25" s="12">
        <f>C9*0.25</f>
        <v/>
      </c>
      <c r="F25" s="13">
        <f>IF(E25&gt;0,ROUNDUP(C25/E25*12,0),"N/A")</f>
        <v/>
      </c>
      <c r="G25" s="1" t="n"/>
      <c r="H25" s="1" t="n"/>
      <c r="I25" s="1" t="n"/>
    </row>
    <row r="26">
      <c r="A26" s="1" t="n"/>
      <c r="B26" s="11" t="inlineStr">
        <is>
          <t>Holding Malta</t>
        </is>
      </c>
      <c r="C26" s="12" t="n">
        <v>22000</v>
      </c>
      <c r="D26" s="12" t="n">
        <v>12000</v>
      </c>
      <c r="E26" s="12">
        <f>C9*0.30</f>
        <v/>
      </c>
      <c r="F26" s="13">
        <f>IF(E26&gt;0,ROUNDUP(C26/E26*12,0),"N/A")</f>
        <v/>
      </c>
      <c r="G26" s="1" t="n"/>
      <c r="H26" s="1" t="n"/>
      <c r="I26" s="1" t="n"/>
    </row>
    <row r="27">
      <c r="A27" s="1" t="n"/>
      <c r="B27" s="11" t="inlineStr">
        <is>
          <t>Nevis LLC</t>
        </is>
      </c>
      <c r="C27" s="12" t="n">
        <v>12000</v>
      </c>
      <c r="D27" s="12" t="n">
        <v>6000</v>
      </c>
      <c r="E27" s="12">
        <f>C9*0.20</f>
        <v/>
      </c>
      <c r="F27" s="13">
        <f>IF(E27&gt;0,ROUNDUP(C27/E27*12,0),"N/A")</f>
        <v/>
      </c>
      <c r="G27" s="1" t="n"/>
      <c r="H27" s="1" t="n"/>
      <c r="I27" s="1" t="n"/>
    </row>
    <row r="28">
      <c r="A28" s="1" t="n"/>
      <c r="B28" s="11" t="inlineStr">
        <is>
          <t>BVI Business Co.</t>
        </is>
      </c>
      <c r="C28" s="12" t="n">
        <v>10000</v>
      </c>
      <c r="D28" s="12" t="n">
        <v>5000</v>
      </c>
      <c r="E28" s="12">
        <f>C9*0.20</f>
        <v/>
      </c>
      <c r="F28" s="13">
        <f>IF(E28&gt;0,ROUNDUP(C28/E28*12,0),"N/A")</f>
        <v/>
      </c>
      <c r="G28" s="1" t="n"/>
      <c r="H28" s="1" t="n"/>
      <c r="I28" s="1" t="n"/>
    </row>
    <row r="29">
      <c r="A29" s="1" t="n"/>
      <c r="B29" s="11" t="inlineStr">
        <is>
          <t>Cayman Exempted</t>
        </is>
      </c>
      <c r="C29" s="12" t="n">
        <v>35000</v>
      </c>
      <c r="D29" s="12" t="n">
        <v>18000</v>
      </c>
      <c r="E29" s="12">
        <f>C9*0.35</f>
        <v/>
      </c>
      <c r="F29" s="13">
        <f>IF(E29&gt;0,ROUNDUP(C29/E29*12,0),"N/A")</f>
        <v/>
      </c>
      <c r="G29" s="1" t="n"/>
      <c r="H29" s="1" t="n"/>
      <c r="I29" s="1" t="n"/>
    </row>
    <row r="30">
      <c r="A30" s="1" t="n"/>
      <c r="B30" s="11" t="inlineStr">
        <is>
          <t>Trust Jersey</t>
        </is>
      </c>
      <c r="C30" s="12" t="n">
        <v>80000</v>
      </c>
      <c r="D30" s="12" t="n">
        <v>25000</v>
      </c>
      <c r="E30" s="12">
        <f>C9*0.35</f>
        <v/>
      </c>
      <c r="F30" s="13">
        <f>IF(E30&gt;0,ROUNDUP(C30/E30*12,0),"N/A")</f>
        <v/>
      </c>
      <c r="G30" s="1" t="n"/>
      <c r="H30" s="1" t="n"/>
      <c r="I30" s="1" t="n"/>
    </row>
    <row r="31">
      <c r="A31" s="1" t="n"/>
      <c r="B31" s="11" t="inlineStr">
        <is>
          <t>Trust Cayman</t>
        </is>
      </c>
      <c r="C31" s="12" t="n">
        <v>70000</v>
      </c>
      <c r="D31" s="12" t="n">
        <v>22000</v>
      </c>
      <c r="E31" s="12">
        <f>C9*0.35</f>
        <v/>
      </c>
      <c r="F31" s="13">
        <f>IF(E31&gt;0,ROUNDUP(C31/E31*12,0),"N/A")</f>
        <v/>
      </c>
      <c r="G31" s="1" t="n"/>
      <c r="H31" s="1" t="n"/>
      <c r="I31" s="1" t="n"/>
    </row>
    <row r="32">
      <c r="A32" s="1" t="n"/>
      <c r="B32" s="11" t="inlineStr">
        <is>
          <t>Fundacao Liechtenstein</t>
        </is>
      </c>
      <c r="C32" s="12" t="n">
        <v>100000</v>
      </c>
      <c r="D32" s="12" t="n">
        <v>30000</v>
      </c>
      <c r="E32" s="12">
        <f>C9*0.35</f>
        <v/>
      </c>
      <c r="F32" s="13">
        <f>IF(E32&gt;0,ROUNDUP(C32/E32*12,0),"N/A")</f>
        <v/>
      </c>
      <c r="G32" s="1" t="n"/>
      <c r="H32" s="1" t="n"/>
      <c r="I32" s="1" t="n"/>
    </row>
    <row r="33">
      <c r="A33" s="1" t="n"/>
      <c r="B33" s="11" t="inlineStr">
        <is>
          <t>Foundation Panama</t>
        </is>
      </c>
      <c r="C33" s="12" t="n">
        <v>25000</v>
      </c>
      <c r="D33" s="12" t="n">
        <v>8000</v>
      </c>
      <c r="E33" s="12">
        <f>C9*0.25</f>
        <v/>
      </c>
      <c r="F33" s="13">
        <f>IF(E33&gt;0,ROUNDUP(C33/E33*12,0),"N/A")</f>
        <v/>
      </c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3" t="inlineStr">
        <is>
          <t>Valores estimados para fins educacionais. Consulte um profissional para analise do seu caso.</t>
        </is>
      </c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4" t="inlineStr">
        <is>
          <t>PROJECAO DE ECONOMIA</t>
        </is>
      </c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0" t="inlineStr">
        <is>
          <t>Ano</t>
        </is>
      </c>
      <c r="C39" s="10" t="inlineStr">
        <is>
          <t>Economia acumulada</t>
        </is>
      </c>
      <c r="D39" s="10" t="inlineStr">
        <is>
          <t>Custo acumulado</t>
        </is>
      </c>
      <c r="E39" s="10" t="inlineStr">
        <is>
          <t>Resultado liquido</t>
        </is>
      </c>
      <c r="F39" s="1" t="n"/>
      <c r="G39" s="1" t="n"/>
      <c r="H39" s="1" t="n"/>
      <c r="I39" s="1" t="n"/>
    </row>
    <row r="40">
      <c r="A40" s="1" t="n"/>
      <c r="B40" s="14" t="n">
        <v>1</v>
      </c>
      <c r="C40" s="12">
        <f>C14*1</f>
        <v/>
      </c>
      <c r="D40" s="12">
        <f>C10</f>
        <v/>
      </c>
      <c r="E40" s="12">
        <f>C40-D40</f>
        <v/>
      </c>
      <c r="F40" s="1" t="n"/>
      <c r="G40" s="1" t="n"/>
      <c r="H40" s="1" t="n"/>
      <c r="I40" s="1" t="n"/>
    </row>
    <row r="41">
      <c r="A41" s="1" t="n"/>
      <c r="B41" s="14" t="n">
        <v>2</v>
      </c>
      <c r="C41" s="12">
        <f>C14*2</f>
        <v/>
      </c>
      <c r="D41" s="12">
        <f>C10+(2-1)*C10*0.1</f>
        <v/>
      </c>
      <c r="E41" s="12">
        <f>C41-D41</f>
        <v/>
      </c>
      <c r="F41" s="1" t="n"/>
      <c r="G41" s="1" t="n"/>
      <c r="H41" s="1" t="n"/>
      <c r="I41" s="1" t="n"/>
    </row>
    <row r="42">
      <c r="A42" s="1" t="n"/>
      <c r="B42" s="14" t="n">
        <v>3</v>
      </c>
      <c r="C42" s="12">
        <f>C14*3</f>
        <v/>
      </c>
      <c r="D42" s="12">
        <f>C10+(3-1)*C10*0.1</f>
        <v/>
      </c>
      <c r="E42" s="12">
        <f>C42-D42</f>
        <v/>
      </c>
      <c r="F42" s="1" t="n"/>
      <c r="G42" s="1" t="n"/>
      <c r="H42" s="1" t="n"/>
      <c r="I42" s="1" t="n"/>
    </row>
    <row r="43">
      <c r="A43" s="1" t="n"/>
      <c r="B43" s="14" t="n">
        <v>4</v>
      </c>
      <c r="C43" s="12">
        <f>C14*4</f>
        <v/>
      </c>
      <c r="D43" s="12">
        <f>C10+(4-1)*C10*0.1</f>
        <v/>
      </c>
      <c r="E43" s="12">
        <f>C43-D43</f>
        <v/>
      </c>
      <c r="F43" s="1" t="n"/>
      <c r="G43" s="1" t="n"/>
      <c r="H43" s="1" t="n"/>
      <c r="I43" s="1" t="n"/>
    </row>
    <row r="44">
      <c r="A44" s="1" t="n"/>
      <c r="B44" s="14" t="n">
        <v>5</v>
      </c>
      <c r="C44" s="12">
        <f>C14*5</f>
        <v/>
      </c>
      <c r="D44" s="12">
        <f>C10+(5-1)*C10*0.1</f>
        <v/>
      </c>
      <c r="E44" s="12">
        <f>C44-D44</f>
        <v/>
      </c>
      <c r="F44" s="1" t="n"/>
      <c r="G44" s="1" t="n"/>
      <c r="H44" s="1" t="n"/>
      <c r="I44" s="1" t="n"/>
    </row>
    <row r="45">
      <c r="A45" s="1" t="n"/>
      <c r="B45" s="14" t="n">
        <v>6</v>
      </c>
      <c r="C45" s="12">
        <f>C14*6</f>
        <v/>
      </c>
      <c r="D45" s="12">
        <f>C10+(6-1)*C10*0.1</f>
        <v/>
      </c>
      <c r="E45" s="12">
        <f>C45-D45</f>
        <v/>
      </c>
      <c r="F45" s="1" t="n"/>
      <c r="G45" s="1" t="n"/>
      <c r="H45" s="1" t="n"/>
      <c r="I45" s="1" t="n"/>
    </row>
    <row r="46">
      <c r="A46" s="1" t="n"/>
      <c r="B46" s="14" t="n">
        <v>7</v>
      </c>
      <c r="C46" s="12">
        <f>C14*7</f>
        <v/>
      </c>
      <c r="D46" s="12">
        <f>C10+(7-1)*C10*0.1</f>
        <v/>
      </c>
      <c r="E46" s="12">
        <f>C46-D46</f>
        <v/>
      </c>
      <c r="F46" s="1" t="n"/>
      <c r="G46" s="1" t="n"/>
      <c r="H46" s="1" t="n"/>
      <c r="I46" s="1" t="n"/>
    </row>
    <row r="47">
      <c r="A47" s="1" t="n"/>
      <c r="B47" s="14" t="n">
        <v>8</v>
      </c>
      <c r="C47" s="12">
        <f>C14*8</f>
        <v/>
      </c>
      <c r="D47" s="12">
        <f>C10+(8-1)*C10*0.1</f>
        <v/>
      </c>
      <c r="E47" s="12">
        <f>C47-D47</f>
        <v/>
      </c>
      <c r="F47" s="1" t="n"/>
      <c r="G47" s="1" t="n"/>
      <c r="H47" s="1" t="n"/>
      <c r="I47" s="1" t="n"/>
    </row>
    <row r="48">
      <c r="A48" s="1" t="n"/>
      <c r="B48" s="14" t="n">
        <v>9</v>
      </c>
      <c r="C48" s="12">
        <f>C14*9</f>
        <v/>
      </c>
      <c r="D48" s="12">
        <f>C10+(9-1)*C10*0.1</f>
        <v/>
      </c>
      <c r="E48" s="12">
        <f>C48-D48</f>
        <v/>
      </c>
      <c r="F48" s="1" t="n"/>
      <c r="G48" s="1" t="n"/>
      <c r="H48" s="1" t="n"/>
      <c r="I48" s="1" t="n"/>
    </row>
    <row r="49">
      <c r="A49" s="1" t="n"/>
      <c r="B49" s="14" t="n">
        <v>10</v>
      </c>
      <c r="C49" s="12">
        <f>C14*10</f>
        <v/>
      </c>
      <c r="D49" s="12">
        <f>C10+(10-1)*C10*0.1</f>
        <v/>
      </c>
      <c r="E49" s="12">
        <f>C49-D49</f>
        <v/>
      </c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mergeCells count="3">
    <mergeCell ref="B2:F2"/>
    <mergeCell ref="B3:F3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55555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n"/>
      <c r="B1" s="1" t="n"/>
      <c r="C1" s="1" t="n"/>
      <c r="D1" s="1" t="n"/>
      <c r="E1" s="1" t="n"/>
    </row>
    <row r="2">
      <c r="A2" s="1" t="n"/>
      <c r="B2" s="15" t="inlineStr">
        <is>
          <t>COMO USAR ESTA PLANILHA</t>
        </is>
      </c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1" t="n"/>
      <c r="B4" s="16" t="inlineStr">
        <is>
          <t>1. Acesse a aba 'Simulador'</t>
        </is>
      </c>
      <c r="C4" s="1" t="n"/>
      <c r="D4" s="1" t="n"/>
      <c r="E4" s="1" t="n"/>
    </row>
    <row r="5">
      <c r="A5" s="1" t="n"/>
      <c r="B5" s="16" t="inlineStr">
        <is>
          <t>2. Preencha os 4 campos em verde com os seus dados reais:</t>
        </is>
      </c>
      <c r="C5" s="1" t="n"/>
      <c r="D5" s="1" t="n"/>
      <c r="E5" s="1" t="n"/>
    </row>
    <row r="6">
      <c r="A6" s="1" t="n"/>
      <c r="B6" s="16" t="inlineStr">
        <is>
          <t xml:space="preserve">   - Patrimonio total: some imoveis, investimentos, participacoes e outros ativos</t>
        </is>
      </c>
      <c r="C6" s="1" t="n"/>
      <c r="D6" s="1" t="n"/>
      <c r="E6" s="1" t="n"/>
    </row>
    <row r="7">
      <c r="A7" s="1" t="n"/>
      <c r="B7" s="16" t="inlineStr">
        <is>
          <t xml:space="preserve">   - Renda anual: inclua pro-labore, dividendos, alugueis e outras fontes</t>
        </is>
      </c>
      <c r="C7" s="1" t="n"/>
      <c r="D7" s="1" t="n"/>
      <c r="E7" s="1" t="n"/>
    </row>
    <row r="8">
      <c r="A8" s="1" t="n"/>
      <c r="B8" s="16" t="inlineStr">
        <is>
          <t xml:space="preserve">   - Impostos pagos: o total de IR, CSLL, ITCMD e outros tributos que voce paga por ano</t>
        </is>
      </c>
      <c r="C8" s="1" t="n"/>
      <c r="D8" s="1" t="n"/>
      <c r="E8" s="1" t="n"/>
    </row>
    <row r="9">
      <c r="A9" s="1" t="n"/>
      <c r="B9" s="16" t="inlineStr">
        <is>
          <t xml:space="preserve">   - Custo da estrutura: o investimento estimado para montar a estrutura (setup)</t>
        </is>
      </c>
      <c r="C9" s="1" t="n"/>
      <c r="D9" s="1" t="n"/>
      <c r="E9" s="1" t="n"/>
    </row>
    <row r="10">
      <c r="A10" s="1" t="n"/>
      <c r="B10" s="16" t="inlineStr">
        <is>
          <t>3. Os resultados sao calculados automaticamente:</t>
        </is>
      </c>
      <c r="C10" s="1" t="n"/>
      <c r="D10" s="1" t="n"/>
      <c r="E10" s="1" t="n"/>
    </row>
    <row r="11">
      <c r="A11" s="1" t="n"/>
      <c r="B11" s="16" t="inlineStr">
        <is>
          <t xml:space="preserve">   - Economia tributaria estimada (35% dos impostos atuais como referencia)</t>
        </is>
      </c>
      <c r="C11" s="1" t="n"/>
      <c r="D11" s="1" t="n"/>
      <c r="E11" s="1" t="n"/>
    </row>
    <row r="12">
      <c r="A12" s="1" t="n"/>
      <c r="B12" s="16" t="inlineStr">
        <is>
          <t xml:space="preserve">   - Payback: quantos meses para a estrutura se pagar</t>
        </is>
      </c>
      <c r="C12" s="1" t="n"/>
      <c r="D12" s="1" t="n"/>
      <c r="E12" s="1" t="n"/>
    </row>
    <row r="13">
      <c r="A13" s="1" t="n"/>
      <c r="B13" s="16" t="inlineStr">
        <is>
          <t xml:space="preserve">   - ROI: retorno sobre o investimento no primeiro ano e em 5 anos</t>
        </is>
      </c>
      <c r="C13" s="1" t="n"/>
      <c r="D13" s="1" t="n"/>
      <c r="E13" s="1" t="n"/>
    </row>
    <row r="14">
      <c r="A14" s="1" t="n"/>
      <c r="B14" s="16" t="inlineStr">
        <is>
          <t>4. O comparativo mostra custos e payback para cada tipo de estrutura</t>
        </is>
      </c>
      <c r="C14" s="1" t="n"/>
      <c r="D14" s="1" t="n"/>
      <c r="E14" s="1" t="n"/>
    </row>
    <row r="15">
      <c r="A15" s="1" t="n"/>
      <c r="B15" s="16" t="inlineStr">
        <is>
          <t>5. A projecao mostra economia acumulada em 10 anos</t>
        </is>
      </c>
      <c r="C15" s="1" t="n"/>
      <c r="D15" s="1" t="n"/>
      <c r="E15" s="1" t="n"/>
    </row>
    <row r="16">
      <c r="A16" s="1" t="n"/>
      <c r="B16" s="16" t="inlineStr"/>
      <c r="C16" s="1" t="n"/>
      <c r="D16" s="1" t="n"/>
      <c r="E16" s="1" t="n"/>
    </row>
    <row r="17">
      <c r="A17" s="1" t="n"/>
      <c r="B17" s="17" t="inlineStr">
        <is>
          <t>IMPORTANTE: Os calculos sao estimativas educacionais.</t>
        </is>
      </c>
      <c r="C17" s="1" t="n"/>
      <c r="D17" s="1" t="n"/>
      <c r="E17" s="1" t="n"/>
    </row>
    <row r="18">
      <c r="A18" s="1" t="n"/>
      <c r="B18" s="16" t="inlineStr">
        <is>
          <t>A economia real depende do seu caso especifico.</t>
        </is>
      </c>
      <c r="C18" s="1" t="n"/>
      <c r="D18" s="1" t="n"/>
      <c r="E18" s="1" t="n"/>
    </row>
    <row r="19">
      <c r="A19" s="1" t="n"/>
      <c r="B19" s="16" t="inlineStr">
        <is>
          <t>Consulte a Bezerra Borges Advogados para uma analise personalizada.</t>
        </is>
      </c>
      <c r="C19" s="1" t="n"/>
      <c r="D19" s="1" t="n"/>
      <c r="E19" s="1" t="n"/>
    </row>
    <row r="20">
      <c r="A20" s="1" t="n"/>
      <c r="B20" s="16" t="inlineStr"/>
      <c r="C20" s="1" t="n"/>
      <c r="D20" s="1" t="n"/>
      <c r="E20" s="1" t="n"/>
    </row>
    <row r="21">
      <c r="A21" s="1" t="n"/>
      <c r="B21" s="16" t="inlineStr">
        <is>
          <t>bezerraborges.com.br</t>
        </is>
      </c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2026-06-23T00:53:39Z</dcterms:created>
  <dcterms:modified xsi:type="dcterms:W3CDTF">2026-06-23T00:53:39Z</dcterms:modified>
</cp:coreProperties>
</file>